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nal - Productivity" sheetId="1" r:id="rId4"/>
    <sheet state="visible" name="External - Revenue" sheetId="2" r:id="rId5"/>
    <sheet state="visible" name="Combined Summary" sheetId="3" r:id="rId6"/>
  </sheets>
  <definedNames/>
  <calcPr/>
  <extLst>
    <ext uri="GoogleSheetsCustomDataVersion2">
      <go:sheetsCustomData xmlns:go="http://customooxmlschemas.google.com/" r:id="rId7" roundtripDataChecksum="k0Wkd12Ym7XxZ1fRutUSmQsiNTH2JdMPcZU1m52Rh00="/>
    </ext>
  </extLst>
</workbook>
</file>

<file path=xl/sharedStrings.xml><?xml version="1.0" encoding="utf-8"?>
<sst xmlns="http://schemas.openxmlformats.org/spreadsheetml/2006/main" count="119" uniqueCount="106">
  <si>
    <t>MKG AI Opportunity — Internal Productivity Impact</t>
  </si>
  <si>
    <t>Labor cost equivalent of AI-driven productivity gains. All assumptions stated; all numbers are annual.</t>
  </si>
  <si>
    <t>FTE counts are placeholder estimates for MKG (~650 employees). Comp figures are all-in (salary + benefits + overhead) based on published pharma services benchmarks (Glassdoor, AMWA 2024, Salary.com), blended for MKG seniority mix and NYC location.</t>
  </si>
  <si>
    <t>Workflow Area / Role Group</t>
  </si>
  <si>
    <t>Est. FTEs</t>
  </si>
  <si>
    <t>Avg All-In Comp</t>
  </si>
  <si>
    <t>Role Description / AI Relevance</t>
  </si>
  <si>
    <t>Low Uplift %</t>
  </si>
  <si>
    <t>Low Value</t>
  </si>
  <si>
    <t>High Uplift %</t>
  </si>
  <si>
    <t>High Value</t>
  </si>
  <si>
    <t>What Needs to Be True</t>
  </si>
  <si>
    <t>EDITORIAL PIPELINE (Super Product target)</t>
  </si>
  <si>
    <t>Medical Writers / Content Creators</t>
  </si>
  <si>
    <t>Draft content, MLR prep, channel adaptation. DynAImic Content target. AI assists with first drafts and channel variants — but medical accuracy still requires human review.</t>
  </si>
  <si>
    <t>DynAImic Content produces usable first drafts for at least simpler content types (e.g., emails, social). Writers adopt it into daily workflow rather than reverting to manual process.</t>
  </si>
  <si>
    <t>Editorial / QA Reviewers</t>
  </si>
  <si>
    <t>Routing, style checks, annotation. Route Reagent + Annotation Activation target. Beta testing shows reduced rounds — this is the most validated internal tool.</t>
  </si>
  <si>
    <t>Route Reagent catches enough issues pre-review to measurably reduce at least one editorial round on most projects. Pilot results (launching in ~4-6 weeks per transcript) confirm beta findings at scale.</t>
  </si>
  <si>
    <t>Regulatory / Compliance Reviewers</t>
  </si>
  <si>
    <t>FDA flag detection, MLR pre-screening. Compliance Core target. High-stakes domain — AI flags issues but humans must still decide. Saves search/lookup time, not judgment time.</t>
  </si>
  <si>
    <t>Compliance Core reliably flags common regulatory issues (off-label language, missing fair balance) with low enough false-positive rate that reviewers trust it as a pre-screen rather than ignoring it.</t>
  </si>
  <si>
    <t>ANALYTICS (81qd)</t>
  </si>
  <si>
    <t>HCP Profiling / Data Analysts</t>
  </si>
  <si>
    <t>KOL identification, affiliation mapping, data harmonization. Pantheon + Practice Master target. These analysts spend significant time on data cleaning and matching — a strong AI use case.</t>
  </si>
  <si>
    <t>AI-assisted entity matching and data harmonization is reliable enough to reduce manual QA passes. Freed capacity is redeployed to additional billable projects rather than absorbed as slack.</t>
  </si>
  <si>
    <t>Influence / Network Analysts</t>
  </si>
  <si>
    <t>Network mapping, influence scoring, engagement planning. Plexus target. More judgment-intensive than profiling — AI augments but doesn't replace the analytical work.</t>
  </si>
  <si>
    <t>AI can reliably assemble network data and generate draft influence maps that analysts refine rather than build from scratch. Plexus is integrated enough into workflow to be used consistently.</t>
  </si>
  <si>
    <t>MARKET RESEARCH &amp; ADVISORY</t>
  </si>
  <si>
    <t>Research Analysts / Strategists</t>
  </si>
  <si>
    <t>Ad board synthesis, concept testing, qual/quant research. Verba + BloomLab + PerspectivX target. Susan noted market research firms without AI are already behind — this is table-stakes territory.</t>
  </si>
  <si>
    <t>Research analysts actually use AI synthesis tools in their daily workflow (not just available but adopted). Output quality is high enough that it reduces revision time rather than creating new review burden.</t>
  </si>
  <si>
    <t>GENERAL PRODUCTIVITY (org-wide)</t>
  </si>
  <si>
    <t>Other Knowledge Workers (ChatMKG users)</t>
  </si>
  <si>
    <t>General AI productivity: meeting notes, brief drafting, search, brand knowledge. ChatMKG + ION target. Notes flag that ChatMKG features are available in off-the-shelf tools — value requires MKG-specific data integration.</t>
  </si>
  <si>
    <t>ChatMKG is differentiated from off-the-shelf tools by connecting to MKG proprietary data (brand knowledge, past work). Adoption reaches &gt;50% of target users on a weekly basis.</t>
  </si>
  <si>
    <t>TOTAL INTERNAL PRODUCTIVITY VALUE</t>
  </si>
  <si>
    <t>Low</t>
  </si>
  <si>
    <t>High</t>
  </si>
  <si>
    <t>ASSUMPTIONS &amp; RATIONALE</t>
  </si>
  <si>
    <t>All blue values are assumptions. Comp figures are all-in (salary + benefits + overhead) based on published pharma services benchmarks.</t>
  </si>
  <si>
    <t>FTE counts are placeholder estimates for MKG (~650 total). These should be confirmed by MKG leadership — actual counts will change the outputs.</t>
  </si>
  <si>
    <t>Uplift % reflects blended impact across the group. Low = basic AI tool adoption with modest workflow integration. High = targeted workflow automation with consistent daily use.</t>
  </si>
  <si>
    <t>"Value" = labor cost equivalent of productivity freed. This is capacity that can be redeployed to higher-value work or absorbed as margin — not headcount reduction.</t>
  </si>
  <si>
    <t>Uplift estimates are informed by: (a) product maturity (beta vs. concept), (b) how judgment-intensive the work is, (c) skepticism noted in advisory documentation about specific tools.</t>
  </si>
  <si>
    <t>Comp sources: Glassdoor (Medical Writer avg $130K total, Pharma Data Analyst avg $104K), AMWA 2024 Report (employed writers avg $150K), Salary.com (Med Writer I avg $69K). Blended and adjusted for MKG seniority mix and NYC location.</t>
  </si>
  <si>
    <t>MKG AI Opportunity — External Revenue Upside</t>
  </si>
  <si>
    <t>Incremental revenue from AI-differentiated client-facing products. All assumptions stated.</t>
  </si>
  <si>
    <t>Product / Revenue Driver</t>
  </si>
  <si>
    <t>Low Assumptions</t>
  </si>
  <si>
    <t>High Assumptions</t>
  </si>
  <si>
    <t>Assumptions</t>
  </si>
  <si>
    <t>Pantheon — Subscription Revenue</t>
  </si>
  <si>
    <t xml:space="preserve">  Customers (Year 1)</t>
  </si>
  <si>
    <t>Early adopters from existing 81qd client base. 81qd has many transaction clients who could convert.</t>
  </si>
  <si>
    <t xml:space="preserve">  Avg subscription price</t>
  </si>
  <si>
    <t>Range reflects basic profiling access vs. full analytics bundle with alerts and predictive features.</t>
  </si>
  <si>
    <t xml:space="preserve">  Annual revenue</t>
  </si>
  <si>
    <t>At least 8 existing 81qd transaction clients convert to annual subscriptions. Product moves beyond exploration to include alerts, triggers, or engagement planning features that justify recurring payment.</t>
  </si>
  <si>
    <t>BloomLab — AI Market Research Platform</t>
  </si>
  <si>
    <t xml:space="preserve">  Engagements / year</t>
  </si>
  <si>
    <t>Sold alongside existing Magnolia Innovation market research projects. Clients already buying it.</t>
  </si>
  <si>
    <t xml:space="preserve">  Revenue per engagement</t>
  </si>
  <si>
    <t>Priced as add-on to existing research projects. Lower than traditional qual ($75K-$150K) but delivers real-time synthesis.</t>
  </si>
  <si>
    <t>Magnolia team consistently offers BloomLab in proposals. Clients see enough value in real-time synthesis to pay for it beyond novelty. Methodology holds up to pharma rigor (sample size, bias concerns).</t>
  </si>
  <si>
    <t>PerspectivX — AI Concept Testing</t>
  </si>
  <si>
    <t xml:space="preserve">  Concept tests / year</t>
  </si>
  <si>
    <t>Subset of campaigns across MKG brand work. Still building credibility — needs to prove AI persona feedback correlates with real HCP responses.</t>
  </si>
  <si>
    <t xml:space="preserve">  Price per test</t>
  </si>
  <si>
    <t>Fraction of traditional qual cost. Lower price point reflects that AI personas are less trusted than real HCP feedback.</t>
  </si>
  <si>
    <t>AI persona feedback demonstrably correlates with real HCP responses on at least a few validated case studies. Personas are built on proprietary MKG data (not just LLM approximation).</t>
  </si>
  <si>
    <t>Verba — Advisory Board Synthesis</t>
  </si>
  <si>
    <t xml:space="preserve">  Boards with Verba premium</t>
  </si>
  <si>
    <t>LOW = $0: likely a deal sweetener included in advisory board pricing, not a standalone charge. HIGH = modest premium on subset of boards where clients specifically value AI synthesis.</t>
  </si>
  <si>
    <t xml:space="preserve">  Add-on price per board</t>
  </si>
  <si>
    <t>Advisory notes describe this as potentially "table stakes" — off-the-shelf LLMs can do structured synthesis. Limited standalone pricing power.</t>
  </si>
  <si>
    <t>Clients are willing to pay a premium specifically for AI-synthesized ad board deliverables rather than receiving it as a bundled feature. Verba offers something beyond what clients could do with off-the-shelf transcription + LLM.</t>
  </si>
  <si>
    <t>MagpAI — Stakeholder Simulation</t>
  </si>
  <si>
    <t>LOW = $0: currently more of a deal sweetener / demo tool than standalone product. HIGH = training simulations for field teams, which have clearer standalone value.</t>
  </si>
  <si>
    <t>Training simulation use case is more defensible than research simulation. Advisory notes flag LLM wrapper risk.</t>
  </si>
  <si>
    <t>MagpAI personas are built on proprietary HCP data (not generic LLM). Training simulation use cases demonstrate measurable impact on rep preparedness. Clients buy it for its own value, not as an AI checkbox.</t>
  </si>
  <si>
    <t>Plexus — AI-Enhanced Pricing Uplift</t>
  </si>
  <si>
    <t xml:space="preserve">  Projects with AI-enhanced delivery</t>
  </si>
  <si>
    <t>Bundled engagement planning projects ($350K-$500K base). AI enables faster, more comprehensive network analysis.</t>
  </si>
  <si>
    <t xml:space="preserve">  Incremental pricing per project</t>
  </si>
  <si>
    <t>~5-10% premium for AI-enhanced speed and depth. Lower than original estimate — Nick noted AI efficiency is becoming "cost of entry."</t>
  </si>
  <si>
    <t xml:space="preserve">  Annual incremental revenue</t>
  </si>
  <si>
    <t>Clients perceive AI-enhanced engagement planning as meaningfully better (not just faster), justifying premium pricing. Competitors are not offering equivalent AI-enhanced analytics at similar quality.</t>
  </si>
  <si>
    <t>Sentiment Tracker — Share of Wallet Lift</t>
  </si>
  <si>
    <t xml:space="preserve">  Existing client revenue base (addressable)</t>
  </si>
  <si>
    <t>~1/3 of $150M revenue from clients where sentiment data is relevant.</t>
  </si>
  <si>
    <t xml:space="preserve">  Conversion / expansion uplift</t>
  </si>
  <si>
    <t>Better targeting → modest lift in upsell/renewal. Mechanism is indirect and hard to attribute.</t>
  </si>
  <si>
    <t>Account teams have access to sentiment data and actually use it in renewal/upsell conversations. At least a few deals can be attributed (even partially) to sentiment-informed targeting.</t>
  </si>
  <si>
    <t>TOTAL EXTERNAL REVENUE UPSIDE</t>
  </si>
  <si>
    <t>MKG AI Opportunity — Combined Summary</t>
  </si>
  <si>
    <t>Category</t>
  </si>
  <si>
    <t>Internal Productivity Value (labor cost equivalent)</t>
  </si>
  <si>
    <t>External Revenue Upside</t>
  </si>
  <si>
    <t>Note: These are presented separately because they represent different value types.</t>
  </si>
  <si>
    <t>Internal productivity = capacity freed (redeployable to growth or absorbable as margin). Requires redeployment decisions to become real.</t>
  </si>
  <si>
    <t>External revenue = incremental cash from new or enhanced products. Requires product-market fit and sales execution.</t>
  </si>
  <si>
    <t>Both are Year 1 estimates with early-stage adoption assumptions.</t>
  </si>
  <si>
    <t>Internal as % of ~$150M revenue</t>
  </si>
  <si>
    <t>External as % of ~$150M revenue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</si>
</sst>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0.0%"/>
  </numFmts>
  <fonts count="11">
    <font>
      <sz val="11.0"/>
      <color theme="1"/>
      <name val="Calibri"/>
      <scheme val="minor"/>
    </font>
    <font>
      <b/>
      <sz val="12.0"/>
      <color theme="1"/>
      <name val="Arial"/>
    </font>
    <font>
      <i/>
      <sz val="10.0"/>
      <color theme="1"/>
      <name val="Arial"/>
    </font>
    <font>
      <i/>
      <sz val="9.0"/>
      <color rgb="FF666666"/>
      <name val="Arial"/>
    </font>
    <font>
      <b/>
      <sz val="10.0"/>
      <color rgb="FFFFFFFF"/>
      <name val="Arial"/>
    </font>
    <font>
      <b/>
      <sz val="10.0"/>
      <color rgb="FF1F4E79"/>
      <name val="Arial"/>
    </font>
    <font>
      <sz val="11.0"/>
      <color theme="1"/>
      <name val="Calibri"/>
    </font>
    <font>
      <sz val="10.0"/>
      <color theme="1"/>
      <name val="Arial"/>
    </font>
    <font>
      <sz val="10.0"/>
      <color rgb="FF0000FF"/>
      <name val="Arial"/>
    </font>
    <font>
      <sz val="9.0"/>
      <color theme="1"/>
      <name val="Arial"/>
    </font>
    <font>
      <b/>
      <sz val="10.0"/>
      <color theme="1"/>
      <name val="Arial"/>
    </font>
  </fonts>
  <fills count="5">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E2EFDA"/>
        <bgColor rgb="FFE2EFDA"/>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top" wrapText="1"/>
    </xf>
    <xf borderId="1" fillId="3" fontId="5" numFmtId="0" xfId="0" applyAlignment="1" applyBorder="1" applyFill="1" applyFont="1">
      <alignment shrinkToFit="0" vertical="bottom" wrapText="0"/>
    </xf>
    <xf borderId="1" fillId="3" fontId="6" numFmtId="0" xfId="0" applyAlignment="1" applyBorder="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8" numFmtId="164" xfId="0" applyAlignment="1" applyFont="1" applyNumberFormat="1">
      <alignment shrinkToFit="0" vertical="bottom" wrapText="0"/>
    </xf>
    <xf borderId="0" fillId="0" fontId="9" numFmtId="0" xfId="0" applyAlignment="1" applyFont="1">
      <alignment shrinkToFit="0" vertical="top" wrapText="1"/>
    </xf>
    <xf borderId="0" fillId="0" fontId="8" numFmtId="9" xfId="0" applyAlignment="1" applyFont="1" applyNumberFormat="1">
      <alignment shrinkToFit="0" vertical="bottom" wrapText="0"/>
    </xf>
    <xf borderId="0" fillId="0" fontId="7" numFmtId="164" xfId="0" applyAlignment="1" applyFont="1" applyNumberFormat="1">
      <alignment shrinkToFit="0" vertical="bottom" wrapText="0"/>
    </xf>
    <xf borderId="1" fillId="4" fontId="10" numFmtId="0" xfId="0" applyAlignment="1" applyBorder="1" applyFill="1" applyFont="1">
      <alignment shrinkToFit="0" vertical="bottom" wrapText="0"/>
    </xf>
    <xf borderId="1" fillId="4" fontId="6" numFmtId="0" xfId="0" applyAlignment="1" applyBorder="1" applyFont="1">
      <alignment shrinkToFit="0" vertical="bottom" wrapText="0"/>
    </xf>
    <xf borderId="1" fillId="4" fontId="10" numFmtId="0" xfId="0" applyAlignment="1" applyBorder="1" applyFont="1">
      <alignment horizontal="center" shrinkToFit="0" vertical="bottom" wrapText="0"/>
    </xf>
    <xf borderId="1" fillId="4" fontId="10" numFmtId="164" xfId="0" applyAlignment="1" applyBorder="1" applyFont="1" applyNumberFormat="1">
      <alignment shrinkToFit="0" vertical="bottom" wrapText="0"/>
    </xf>
    <xf borderId="0" fillId="0" fontId="10" numFmtId="0" xfId="0" applyAlignment="1" applyFont="1">
      <alignment shrinkToFit="0" vertical="bottom" wrapText="0"/>
    </xf>
    <xf borderId="0" fillId="0" fontId="8" numFmtId="0" xfId="0" applyAlignment="1" applyFont="1">
      <alignment readingOrder="0" shrinkToFit="0" vertical="bottom" wrapText="0"/>
    </xf>
    <xf borderId="0" fillId="0" fontId="10" numFmtId="164" xfId="0" applyAlignment="1" applyFont="1" applyNumberFormat="1">
      <alignment shrinkToFit="0" vertical="bottom" wrapText="0"/>
    </xf>
    <xf borderId="0" fillId="0" fontId="8" numFmtId="164" xfId="0" applyAlignment="1" applyFont="1" applyNumberFormat="1">
      <alignment readingOrder="0" shrinkToFit="0" vertical="bottom" wrapText="0"/>
    </xf>
    <xf borderId="0" fillId="0" fontId="8" numFmtId="165" xfId="0" applyAlignment="1" applyFont="1" applyNumberFormat="1">
      <alignment readingOrder="0" shrinkToFit="0" vertical="bottom" wrapText="0"/>
    </xf>
    <xf borderId="0" fillId="0" fontId="8" numFmtId="165" xfId="0" applyAlignment="1" applyFont="1" applyNumberFormat="1">
      <alignment shrinkToFit="0" vertical="bottom" wrapText="0"/>
    </xf>
    <xf borderId="1" fillId="2" fontId="4" numFmtId="0" xfId="0" applyAlignment="1" applyBorder="1" applyFont="1">
      <alignment horizontal="center" shrinkToFit="0" vertical="bottom" wrapText="0"/>
    </xf>
    <xf borderId="0" fillId="0" fontId="7" numFmtId="165"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0.0"/>
    <col customWidth="1" min="3" max="3" width="14.0"/>
    <col customWidth="1" min="4" max="4" width="40.0"/>
    <col customWidth="1" min="5" max="5" width="10.0"/>
    <col customWidth="1" min="6" max="6" width="14.0"/>
    <col customWidth="1" min="7" max="7" width="10.0"/>
    <col customWidth="1" min="8" max="8" width="14.0"/>
    <col customWidth="1" min="9" max="9" width="48.0"/>
    <col customWidth="1" min="10" max="26" width="8.71"/>
  </cols>
  <sheetData>
    <row r="1">
      <c r="A1" s="1" t="s">
        <v>0</v>
      </c>
    </row>
    <row r="2">
      <c r="A2" s="2" t="s">
        <v>1</v>
      </c>
    </row>
    <row r="3">
      <c r="A3" s="3" t="s">
        <v>2</v>
      </c>
    </row>
    <row r="5">
      <c r="A5" s="4" t="s">
        <v>3</v>
      </c>
      <c r="B5" s="4" t="s">
        <v>4</v>
      </c>
      <c r="C5" s="4" t="s">
        <v>5</v>
      </c>
      <c r="D5" s="4" t="s">
        <v>6</v>
      </c>
      <c r="E5" s="4" t="s">
        <v>7</v>
      </c>
      <c r="F5" s="4" t="s">
        <v>8</v>
      </c>
      <c r="G5" s="4" t="s">
        <v>9</v>
      </c>
      <c r="H5" s="4" t="s">
        <v>10</v>
      </c>
      <c r="I5" s="4" t="s">
        <v>11</v>
      </c>
    </row>
    <row r="6">
      <c r="A6" s="5" t="s">
        <v>12</v>
      </c>
      <c r="B6" s="6"/>
      <c r="C6" s="6"/>
      <c r="D6" s="6"/>
      <c r="E6" s="6"/>
      <c r="F6" s="6"/>
      <c r="G6" s="6"/>
      <c r="H6" s="6"/>
      <c r="I6" s="6"/>
    </row>
    <row r="7">
      <c r="A7" s="7" t="s">
        <v>13</v>
      </c>
      <c r="B7" s="8">
        <v>80.0</v>
      </c>
      <c r="C7" s="9">
        <v>120000.0</v>
      </c>
      <c r="D7" s="10" t="s">
        <v>14</v>
      </c>
      <c r="E7" s="11">
        <v>0.08</v>
      </c>
      <c r="F7" s="12">
        <f t="shared" ref="F7:F9" si="1">B7*C7*E7</f>
        <v>768000</v>
      </c>
      <c r="G7" s="11">
        <v>0.15</v>
      </c>
      <c r="H7" s="12">
        <f t="shared" ref="H7:H9" si="2">B7*C7*G7</f>
        <v>1440000</v>
      </c>
      <c r="I7" s="10" t="s">
        <v>15</v>
      </c>
    </row>
    <row r="8">
      <c r="A8" s="7" t="s">
        <v>16</v>
      </c>
      <c r="B8" s="8">
        <v>30.0</v>
      </c>
      <c r="C8" s="9">
        <v>110000.0</v>
      </c>
      <c r="D8" s="10" t="s">
        <v>17</v>
      </c>
      <c r="E8" s="11">
        <v>0.15</v>
      </c>
      <c r="F8" s="12">
        <f t="shared" si="1"/>
        <v>495000</v>
      </c>
      <c r="G8" s="11">
        <v>0.25</v>
      </c>
      <c r="H8" s="12">
        <f t="shared" si="2"/>
        <v>825000</v>
      </c>
      <c r="I8" s="10" t="s">
        <v>18</v>
      </c>
    </row>
    <row r="9">
      <c r="A9" s="7" t="s">
        <v>19</v>
      </c>
      <c r="B9" s="8">
        <v>20.0</v>
      </c>
      <c r="C9" s="9">
        <v>140000.0</v>
      </c>
      <c r="D9" s="10" t="s">
        <v>20</v>
      </c>
      <c r="E9" s="11">
        <v>0.05</v>
      </c>
      <c r="F9" s="12">
        <f t="shared" si="1"/>
        <v>140000</v>
      </c>
      <c r="G9" s="11">
        <v>0.12</v>
      </c>
      <c r="H9" s="12">
        <f t="shared" si="2"/>
        <v>336000</v>
      </c>
      <c r="I9" s="10" t="s">
        <v>21</v>
      </c>
    </row>
    <row r="11">
      <c r="A11" s="5" t="s">
        <v>22</v>
      </c>
      <c r="B11" s="6"/>
      <c r="C11" s="6"/>
      <c r="D11" s="6"/>
      <c r="E11" s="6"/>
      <c r="F11" s="6"/>
      <c r="G11" s="6"/>
      <c r="H11" s="6"/>
      <c r="I11" s="6"/>
    </row>
    <row r="12">
      <c r="A12" s="7" t="s">
        <v>23</v>
      </c>
      <c r="B12" s="8">
        <v>25.0</v>
      </c>
      <c r="C12" s="9">
        <v>105000.0</v>
      </c>
      <c r="D12" s="10" t="s">
        <v>24</v>
      </c>
      <c r="E12" s="11">
        <v>0.1</v>
      </c>
      <c r="F12" s="12">
        <f t="shared" ref="F12:F13" si="3">B12*C12*E12</f>
        <v>262500</v>
      </c>
      <c r="G12" s="11">
        <v>0.2</v>
      </c>
      <c r="H12" s="12">
        <f t="shared" ref="H12:H13" si="4">B12*C12*G12</f>
        <v>525000</v>
      </c>
      <c r="I12" s="10" t="s">
        <v>25</v>
      </c>
    </row>
    <row r="13">
      <c r="A13" s="7" t="s">
        <v>26</v>
      </c>
      <c r="B13" s="8">
        <v>15.0</v>
      </c>
      <c r="C13" s="9">
        <v>130000.0</v>
      </c>
      <c r="D13" s="10" t="s">
        <v>27</v>
      </c>
      <c r="E13" s="11">
        <v>0.05</v>
      </c>
      <c r="F13" s="12">
        <f t="shared" si="3"/>
        <v>97500</v>
      </c>
      <c r="G13" s="11">
        <v>0.12</v>
      </c>
      <c r="H13" s="12">
        <f t="shared" si="4"/>
        <v>234000</v>
      </c>
      <c r="I13" s="10" t="s">
        <v>28</v>
      </c>
    </row>
    <row r="15">
      <c r="A15" s="5" t="s">
        <v>29</v>
      </c>
      <c r="B15" s="6"/>
      <c r="C15" s="6"/>
      <c r="D15" s="6"/>
      <c r="E15" s="6"/>
      <c r="F15" s="6"/>
      <c r="G15" s="6"/>
      <c r="H15" s="6"/>
      <c r="I15" s="6"/>
    </row>
    <row r="16">
      <c r="A16" s="7" t="s">
        <v>30</v>
      </c>
      <c r="B16" s="8">
        <v>40.0</v>
      </c>
      <c r="C16" s="9">
        <v>115000.0</v>
      </c>
      <c r="D16" s="10" t="s">
        <v>31</v>
      </c>
      <c r="E16" s="11">
        <v>0.08</v>
      </c>
      <c r="F16" s="12">
        <f>B16*C16*E16</f>
        <v>368000</v>
      </c>
      <c r="G16" s="11">
        <v>0.15</v>
      </c>
      <c r="H16" s="12">
        <f>B16*C16*G16</f>
        <v>690000</v>
      </c>
      <c r="I16" s="10" t="s">
        <v>32</v>
      </c>
    </row>
    <row r="18">
      <c r="A18" s="5" t="s">
        <v>33</v>
      </c>
      <c r="B18" s="6"/>
      <c r="C18" s="6"/>
      <c r="D18" s="6"/>
      <c r="E18" s="6"/>
      <c r="F18" s="6"/>
      <c r="G18" s="6"/>
      <c r="H18" s="6"/>
      <c r="I18" s="6"/>
    </row>
    <row r="19">
      <c r="A19" s="7" t="s">
        <v>34</v>
      </c>
      <c r="B19" s="8">
        <v>200.0</v>
      </c>
      <c r="C19" s="9">
        <v>95000.0</v>
      </c>
      <c r="D19" s="10" t="s">
        <v>35</v>
      </c>
      <c r="E19" s="11">
        <v>0.02</v>
      </c>
      <c r="F19" s="12">
        <f>B19*C19*E19</f>
        <v>380000</v>
      </c>
      <c r="G19" s="11">
        <v>0.05</v>
      </c>
      <c r="H19" s="12">
        <f>B19*C19*G19</f>
        <v>950000</v>
      </c>
      <c r="I19" s="10" t="s">
        <v>36</v>
      </c>
    </row>
    <row r="21" ht="15.75" customHeight="1">
      <c r="A21" s="13" t="s">
        <v>37</v>
      </c>
      <c r="B21" s="14"/>
      <c r="C21" s="14"/>
      <c r="D21" s="14"/>
      <c r="E21" s="15" t="s">
        <v>38</v>
      </c>
      <c r="F21" s="16">
        <f>F7+F8+F9+F12+F13+F16+F19</f>
        <v>2511000</v>
      </c>
      <c r="G21" s="15" t="s">
        <v>39</v>
      </c>
      <c r="H21" s="16">
        <f>H7+H8+H9+H12+H13+H16+H19</f>
        <v>5000000</v>
      </c>
      <c r="I21" s="14"/>
    </row>
    <row r="22" ht="15.75" customHeight="1"/>
    <row r="23" ht="15.75" customHeight="1">
      <c r="A23" s="17" t="s">
        <v>40</v>
      </c>
    </row>
    <row r="24" ht="15.75" customHeight="1">
      <c r="A24" s="3" t="s">
        <v>41</v>
      </c>
    </row>
    <row r="25" ht="15.75" customHeight="1">
      <c r="A25" s="3" t="s">
        <v>42</v>
      </c>
    </row>
    <row r="26" ht="15.75" customHeight="1">
      <c r="A26" s="3" t="s">
        <v>43</v>
      </c>
    </row>
    <row r="27" ht="15.75" customHeight="1">
      <c r="A27" s="3" t="s">
        <v>44</v>
      </c>
    </row>
    <row r="28" ht="15.75" customHeight="1">
      <c r="A28" s="3" t="s">
        <v>45</v>
      </c>
    </row>
    <row r="29" ht="15.75" customHeight="1">
      <c r="A29" s="3" t="s">
        <v>46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3" width="14.0"/>
    <col customWidth="1" min="4" max="4" width="42.0"/>
    <col customWidth="1" min="5" max="6" width="14.0"/>
    <col customWidth="1" min="7" max="7" width="48.0"/>
    <col customWidth="1" min="8" max="26" width="8.71"/>
  </cols>
  <sheetData>
    <row r="1">
      <c r="A1" s="1" t="s">
        <v>47</v>
      </c>
    </row>
    <row r="2">
      <c r="A2" s="2" t="s">
        <v>48</v>
      </c>
    </row>
    <row r="4">
      <c r="A4" s="4" t="s">
        <v>49</v>
      </c>
      <c r="B4" s="4" t="s">
        <v>50</v>
      </c>
      <c r="C4" s="4" t="s">
        <v>51</v>
      </c>
      <c r="D4" s="4" t="s">
        <v>52</v>
      </c>
      <c r="E4" s="4" t="s">
        <v>8</v>
      </c>
      <c r="F4" s="4" t="s">
        <v>10</v>
      </c>
      <c r="G4" s="4" t="s">
        <v>11</v>
      </c>
    </row>
    <row r="5">
      <c r="A5" s="5" t="s">
        <v>53</v>
      </c>
      <c r="B5" s="6"/>
      <c r="C5" s="6"/>
      <c r="D5" s="6"/>
      <c r="E5" s="6"/>
      <c r="F5" s="6"/>
      <c r="G5" s="6"/>
    </row>
    <row r="6">
      <c r="A6" s="7" t="s">
        <v>54</v>
      </c>
      <c r="B6" s="18">
        <v>10.0</v>
      </c>
      <c r="C6" s="18">
        <v>20.0</v>
      </c>
      <c r="D6" s="10" t="s">
        <v>55</v>
      </c>
    </row>
    <row r="7">
      <c r="A7" s="7" t="s">
        <v>56</v>
      </c>
      <c r="B7" s="9">
        <v>80000.0</v>
      </c>
      <c r="C7" s="9">
        <v>120000.0</v>
      </c>
      <c r="D7" s="10" t="s">
        <v>57</v>
      </c>
    </row>
    <row r="8">
      <c r="A8" s="17" t="s">
        <v>58</v>
      </c>
      <c r="E8" s="19">
        <f t="shared" ref="E8:F8" si="1">B6*B7</f>
        <v>800000</v>
      </c>
      <c r="F8" s="19">
        <f t="shared" si="1"/>
        <v>2400000</v>
      </c>
      <c r="G8" s="10" t="s">
        <v>59</v>
      </c>
    </row>
    <row r="10">
      <c r="A10" s="5" t="s">
        <v>60</v>
      </c>
      <c r="B10" s="6"/>
      <c r="C10" s="6"/>
      <c r="D10" s="6"/>
      <c r="E10" s="6"/>
      <c r="F10" s="6"/>
      <c r="G10" s="6"/>
    </row>
    <row r="11">
      <c r="A11" s="7" t="s">
        <v>61</v>
      </c>
      <c r="B11" s="18">
        <v>10.0</v>
      </c>
      <c r="C11" s="18">
        <v>20.0</v>
      </c>
      <c r="D11" s="10" t="s">
        <v>62</v>
      </c>
    </row>
    <row r="12">
      <c r="A12" s="7" t="s">
        <v>63</v>
      </c>
      <c r="B12" s="9">
        <v>25000.0</v>
      </c>
      <c r="C12" s="9">
        <v>45000.0</v>
      </c>
      <c r="D12" s="10" t="s">
        <v>64</v>
      </c>
    </row>
    <row r="13">
      <c r="A13" s="17" t="s">
        <v>58</v>
      </c>
      <c r="E13" s="19">
        <f t="shared" ref="E13:F13" si="2">B11*B12</f>
        <v>250000</v>
      </c>
      <c r="F13" s="19">
        <f t="shared" si="2"/>
        <v>900000</v>
      </c>
      <c r="G13" s="10" t="s">
        <v>65</v>
      </c>
    </row>
    <row r="15">
      <c r="A15" s="5" t="s">
        <v>66</v>
      </c>
      <c r="B15" s="6"/>
      <c r="C15" s="6"/>
      <c r="D15" s="6"/>
      <c r="E15" s="6"/>
      <c r="F15" s="6"/>
      <c r="G15" s="6"/>
    </row>
    <row r="16">
      <c r="A16" s="7" t="s">
        <v>67</v>
      </c>
      <c r="B16" s="18">
        <v>10.0</v>
      </c>
      <c r="C16" s="8">
        <v>20.0</v>
      </c>
      <c r="D16" s="10" t="s">
        <v>68</v>
      </c>
    </row>
    <row r="17">
      <c r="A17" s="7" t="s">
        <v>69</v>
      </c>
      <c r="B17" s="9">
        <v>15000.0</v>
      </c>
      <c r="C17" s="9">
        <v>30000.0</v>
      </c>
      <c r="D17" s="10" t="s">
        <v>70</v>
      </c>
    </row>
    <row r="18">
      <c r="A18" s="17" t="s">
        <v>58</v>
      </c>
      <c r="E18" s="19">
        <f t="shared" ref="E18:F18" si="3">B16*B17</f>
        <v>150000</v>
      </c>
      <c r="F18" s="19">
        <f t="shared" si="3"/>
        <v>600000</v>
      </c>
      <c r="G18" s="10" t="s">
        <v>71</v>
      </c>
    </row>
    <row r="20">
      <c r="A20" s="5" t="s">
        <v>72</v>
      </c>
      <c r="B20" s="6"/>
      <c r="C20" s="6"/>
      <c r="D20" s="6"/>
      <c r="E20" s="6"/>
      <c r="F20" s="6"/>
      <c r="G20" s="6"/>
    </row>
    <row r="21" ht="15.75" customHeight="1">
      <c r="A21" s="7" t="s">
        <v>73</v>
      </c>
      <c r="B21" s="18">
        <v>10.0</v>
      </c>
      <c r="C21" s="18">
        <v>20.0</v>
      </c>
      <c r="D21" s="10" t="s">
        <v>74</v>
      </c>
    </row>
    <row r="22" ht="15.75" customHeight="1">
      <c r="A22" s="7" t="s">
        <v>75</v>
      </c>
      <c r="B22" s="9">
        <v>0.0</v>
      </c>
      <c r="C22" s="20">
        <v>10000.0</v>
      </c>
      <c r="D22" s="10" t="s">
        <v>76</v>
      </c>
    </row>
    <row r="23" ht="15.75" customHeight="1">
      <c r="A23" s="17" t="s">
        <v>58</v>
      </c>
      <c r="E23" s="19">
        <f t="shared" ref="E23:F23" si="4">B21*B22</f>
        <v>0</v>
      </c>
      <c r="F23" s="19">
        <f t="shared" si="4"/>
        <v>200000</v>
      </c>
      <c r="G23" s="10" t="s">
        <v>77</v>
      </c>
    </row>
    <row r="24" ht="15.75" customHeight="1"/>
    <row r="25" ht="15.75" customHeight="1">
      <c r="A25" s="5" t="s">
        <v>78</v>
      </c>
      <c r="B25" s="6"/>
      <c r="C25" s="6"/>
      <c r="D25" s="6"/>
      <c r="E25" s="6"/>
      <c r="F25" s="6"/>
      <c r="G25" s="6"/>
    </row>
    <row r="26" ht="15.75" customHeight="1">
      <c r="A26" s="7" t="s">
        <v>61</v>
      </c>
      <c r="B26" s="18">
        <v>10.0</v>
      </c>
      <c r="C26" s="8">
        <v>10.0</v>
      </c>
      <c r="D26" s="10" t="s">
        <v>79</v>
      </c>
    </row>
    <row r="27" ht="15.75" customHeight="1">
      <c r="A27" s="7" t="s">
        <v>63</v>
      </c>
      <c r="B27" s="9">
        <v>0.0</v>
      </c>
      <c r="C27" s="9">
        <v>20000.0</v>
      </c>
      <c r="D27" s="10" t="s">
        <v>80</v>
      </c>
    </row>
    <row r="28" ht="15.75" customHeight="1">
      <c r="A28" s="17" t="s">
        <v>58</v>
      </c>
      <c r="E28" s="19">
        <f t="shared" ref="E28:F28" si="5">B26*B27</f>
        <v>0</v>
      </c>
      <c r="F28" s="19">
        <f t="shared" si="5"/>
        <v>200000</v>
      </c>
      <c r="G28" s="10" t="s">
        <v>81</v>
      </c>
    </row>
    <row r="29" ht="15.75" customHeight="1"/>
    <row r="30" ht="15.75" customHeight="1">
      <c r="A30" s="5" t="s">
        <v>82</v>
      </c>
      <c r="B30" s="6"/>
      <c r="C30" s="6"/>
      <c r="D30" s="6"/>
      <c r="E30" s="6"/>
      <c r="F30" s="6"/>
      <c r="G30" s="6"/>
    </row>
    <row r="31" ht="15.75" customHeight="1">
      <c r="A31" s="7" t="s">
        <v>83</v>
      </c>
      <c r="B31" s="18">
        <v>10.0</v>
      </c>
      <c r="C31" s="18">
        <v>20.0</v>
      </c>
      <c r="D31" s="10" t="s">
        <v>84</v>
      </c>
    </row>
    <row r="32" ht="15.75" customHeight="1">
      <c r="A32" s="7" t="s">
        <v>85</v>
      </c>
      <c r="B32" s="20">
        <v>0.0</v>
      </c>
      <c r="C32" s="20">
        <v>50000.0</v>
      </c>
      <c r="D32" s="10" t="s">
        <v>86</v>
      </c>
    </row>
    <row r="33" ht="15.75" customHeight="1">
      <c r="A33" s="17" t="s">
        <v>87</v>
      </c>
      <c r="E33" s="19">
        <f t="shared" ref="E33:F33" si="6">B31*B32</f>
        <v>0</v>
      </c>
      <c r="F33" s="19">
        <f t="shared" si="6"/>
        <v>1000000</v>
      </c>
      <c r="G33" s="10" t="s">
        <v>88</v>
      </c>
    </row>
    <row r="34" ht="15.75" customHeight="1"/>
    <row r="35" ht="15.75" customHeight="1">
      <c r="A35" s="5" t="s">
        <v>89</v>
      </c>
      <c r="B35" s="6"/>
      <c r="C35" s="6"/>
      <c r="D35" s="6"/>
      <c r="E35" s="6"/>
      <c r="F35" s="6"/>
      <c r="G35" s="6"/>
    </row>
    <row r="36" ht="15.75" customHeight="1">
      <c r="A36" s="7" t="s">
        <v>90</v>
      </c>
      <c r="B36" s="9">
        <v>5.0E7</v>
      </c>
      <c r="C36" s="9">
        <v>5.0E7</v>
      </c>
      <c r="D36" s="10" t="s">
        <v>91</v>
      </c>
    </row>
    <row r="37" ht="15.75" customHeight="1">
      <c r="A37" s="7" t="s">
        <v>92</v>
      </c>
      <c r="B37" s="21">
        <v>0.002</v>
      </c>
      <c r="C37" s="22">
        <v>0.008</v>
      </c>
      <c r="D37" s="10" t="s">
        <v>93</v>
      </c>
    </row>
    <row r="38" ht="15.75" customHeight="1">
      <c r="A38" s="17" t="s">
        <v>87</v>
      </c>
      <c r="E38" s="19">
        <f t="shared" ref="E38:F38" si="7">B36*B37</f>
        <v>100000</v>
      </c>
      <c r="F38" s="19">
        <f t="shared" si="7"/>
        <v>400000</v>
      </c>
      <c r="G38" s="10" t="s">
        <v>94</v>
      </c>
    </row>
    <row r="39" ht="15.75" customHeight="1"/>
    <row r="40" ht="15.75" customHeight="1">
      <c r="A40" s="13" t="s">
        <v>95</v>
      </c>
      <c r="B40" s="14"/>
      <c r="C40" s="14"/>
      <c r="D40" s="13" t="s">
        <v>38</v>
      </c>
      <c r="E40" s="16">
        <f t="shared" ref="E40:F40" si="8">E8+E13+E18+E23+E28+E33+E38</f>
        <v>1300000</v>
      </c>
      <c r="F40" s="16">
        <f t="shared" si="8"/>
        <v>5700000</v>
      </c>
      <c r="G40" s="14"/>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3" width="16.0"/>
    <col customWidth="1" min="4" max="26" width="8.71"/>
  </cols>
  <sheetData>
    <row r="1">
      <c r="A1" s="1" t="s">
        <v>96</v>
      </c>
    </row>
    <row r="3">
      <c r="A3" s="23" t="s">
        <v>97</v>
      </c>
      <c r="B3" s="23" t="s">
        <v>38</v>
      </c>
      <c r="C3" s="23" t="s">
        <v>39</v>
      </c>
    </row>
    <row r="4">
      <c r="A4" s="7" t="s">
        <v>98</v>
      </c>
      <c r="B4" s="12">
        <f>'Internal - Productivity'!F21</f>
        <v>2511000</v>
      </c>
      <c r="C4" s="12">
        <f>'Internal - Productivity'!H21</f>
        <v>5000000</v>
      </c>
    </row>
    <row r="5">
      <c r="A5" s="7" t="s">
        <v>99</v>
      </c>
      <c r="B5" s="12">
        <f>'External - Revenue'!E40</f>
        <v>1300000</v>
      </c>
      <c r="C5" s="12">
        <f>'External - Revenue'!F40</f>
        <v>5700000</v>
      </c>
    </row>
    <row r="7">
      <c r="A7" s="3" t="s">
        <v>100</v>
      </c>
    </row>
    <row r="8">
      <c r="A8" s="3" t="s">
        <v>101</v>
      </c>
    </row>
    <row r="9">
      <c r="A9" s="3" t="s">
        <v>102</v>
      </c>
    </row>
    <row r="10">
      <c r="A10" s="3" t="s">
        <v>103</v>
      </c>
    </row>
    <row r="12">
      <c r="A12" s="7" t="s">
        <v>104</v>
      </c>
      <c r="B12" s="24">
        <f t="shared" ref="B12:C12" si="1">B4/150000000</f>
        <v>0.01674</v>
      </c>
      <c r="C12" s="24">
        <f t="shared" si="1"/>
        <v>0.03333333333</v>
      </c>
    </row>
    <row r="13">
      <c r="A13" s="7" t="s">
        <v>105</v>
      </c>
      <c r="B13" s="24">
        <f t="shared" ref="B13:C13" si="2">B5/150000000</f>
        <v>0.008666666667</v>
      </c>
      <c r="C13" s="24">
        <f t="shared" si="2"/>
        <v>0.038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2026-03-13T08:13:50Z</dcterms:created>
  <dc:creator>openpyxl</dc:creator>
</cp:coreProperties>
</file>

<file path=docProps/custom.xml><?xml version="1.0" encoding="utf-8"?>
<Properties xmlns="http://schemas.openxmlformats.org/officeDocument/2006/custom-properties" xmlns:vt="http://schemas.openxmlformats.org/officeDocument/2006/docPropsVTypes"/>
</file>